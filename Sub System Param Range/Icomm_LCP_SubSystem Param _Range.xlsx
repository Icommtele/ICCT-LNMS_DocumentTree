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autoCompressPictures="0"/>
  <xr:revisionPtr revIDLastSave="0" documentId="13_ncr:1_{72EE1A0A-2C48-4B84-A95C-3F6FD366F8F1}" xr6:coauthVersionLast="47" xr6:coauthVersionMax="47" xr10:uidLastSave="{00000000-0000-0000-0000-000000000000}"/>
  <bookViews>
    <workbookView xWindow="-120" yWindow="-120" windowWidth="24240" windowHeight="13020" activeTab="6" xr2:uid="{00000000-000D-0000-FFFF-FFFF00000000}"/>
  </bookViews>
  <sheets>
    <sheet name="Revision" sheetId="41" r:id="rId1"/>
    <sheet name="Radio" sheetId="38" r:id="rId2"/>
    <sheet name="UPS" sheetId="40" r:id="rId3"/>
    <sheet name="DG" sheetId="39" r:id="rId4"/>
    <sheet name="Radio Trap" sheetId="44" r:id="rId5"/>
    <sheet name="UPS Trap" sheetId="45" r:id="rId6"/>
    <sheet name="Switch Trap" sheetId="46" r:id="rId7"/>
  </sheets>
  <definedNames>
    <definedName name="ExtraCredit">#REF!</definedName>
    <definedName name="Fruit">#REF!</definedName>
    <definedName name="Items">#REF!</definedName>
    <definedName name="Meat">#REF!</definedName>
    <definedName name="MoreFruit">#REF!</definedName>
    <definedName name="MoreItem">#REF!</definedName>
    <definedName name="MoreItems">#REF!</definedName>
    <definedName name="_xlnm.Print_Area" localSheetId="0">Revision!$A$1:$G$28</definedName>
    <definedName name="SUMExtraCredit">#REF!</definedName>
    <definedName name="SUMIF">#REF!</definedName>
    <definedName name="SUMIFExtraCredit">#REF!</definedName>
    <definedName name="Tot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45" l="1"/>
  <c r="A4" i="45" s="1"/>
  <c r="A5" i="45" s="1"/>
  <c r="A6" i="45" s="1"/>
  <c r="A3" i="46"/>
  <c r="A4" i="46" s="1"/>
  <c r="A5" i="46" s="1"/>
  <c r="A6" i="46" s="1"/>
  <c r="A6" i="44"/>
  <c r="A5" i="44"/>
  <c r="A4" i="44"/>
  <c r="A3" i="44"/>
</calcChain>
</file>

<file path=xl/sharedStrings.xml><?xml version="1.0" encoding="utf-8"?>
<sst xmlns="http://schemas.openxmlformats.org/spreadsheetml/2006/main" count="196" uniqueCount="170">
  <si>
    <t xml:space="preserve">Sl </t>
  </si>
  <si>
    <t>Rev</t>
  </si>
  <si>
    <t>Authers</t>
  </si>
  <si>
    <t>Remarks</t>
  </si>
  <si>
    <t>Radio Parameters</t>
  </si>
  <si>
    <t xml:space="preserve">    Status</t>
  </si>
  <si>
    <t xml:space="preserve">   S.No</t>
  </si>
  <si>
    <r>
      <t xml:space="preserve">                </t>
    </r>
    <r>
      <rPr>
        <b/>
        <sz val="12"/>
        <color theme="1"/>
        <rFont val="Calibri"/>
        <family val="2"/>
        <scheme val="minor"/>
      </rPr>
      <t xml:space="preserve"> Slot Information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</si>
  <si>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 Min value</t>
    </r>
    <r>
      <rPr>
        <sz val="11"/>
        <color theme="1"/>
        <rFont val="Calibri"/>
        <family val="2"/>
        <scheme val="minor"/>
      </rPr>
      <t>(Range)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</si>
  <si>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Max value(Range)</t>
    </r>
  </si>
  <si>
    <t>Slot1_Status</t>
  </si>
  <si>
    <t>Slot1_FEC</t>
  </si>
  <si>
    <t xml:space="preserve">          OFF -0</t>
  </si>
  <si>
    <t xml:space="preserve">             ON-1 </t>
  </si>
  <si>
    <t>Slot1_TxPower</t>
  </si>
  <si>
    <t>Slot1_RemoteID</t>
  </si>
  <si>
    <t>R1</t>
  </si>
  <si>
    <t>R6</t>
  </si>
  <si>
    <t xml:space="preserve">Slot1_Link </t>
  </si>
  <si>
    <t>Down Link=2</t>
  </si>
  <si>
    <t>UP link=1</t>
  </si>
  <si>
    <t>Slot1_ChannelNo</t>
  </si>
  <si>
    <t>Slot Health Table</t>
  </si>
  <si>
    <t xml:space="preserve">rssislot </t>
  </si>
  <si>
    <t>syncLoss</t>
  </si>
  <si>
    <t xml:space="preserve">  FAIL= 0</t>
  </si>
  <si>
    <t xml:space="preserve"> OK=1</t>
  </si>
  <si>
    <t xml:space="preserve"> snr</t>
  </si>
  <si>
    <t>txpwrslot</t>
  </si>
  <si>
    <t>Voltage Parameters</t>
  </si>
  <si>
    <t>5v</t>
  </si>
  <si>
    <t>0v</t>
  </si>
  <si>
    <t xml:space="preserve">    (-)5v</t>
  </si>
  <si>
    <t xml:space="preserve">                        (-)5v</t>
  </si>
  <si>
    <t>12v</t>
  </si>
  <si>
    <t>49v</t>
  </si>
  <si>
    <t>DG Parameters</t>
  </si>
  <si>
    <t>S.No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</si>
  <si>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 DG  Main Paramater</t>
    </r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</si>
  <si>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 Min Value</t>
    </r>
  </si>
  <si>
    <t>Max(value)</t>
  </si>
  <si>
    <t xml:space="preserve">          Mains Frequency</t>
  </si>
  <si>
    <t>Mains L1 Volts</t>
  </si>
  <si>
    <t>Mains L2 Volts</t>
  </si>
  <si>
    <t>Mains L3 Volts</t>
  </si>
  <si>
    <t>Mains L1L2 Volts</t>
  </si>
  <si>
    <t>NA</t>
  </si>
  <si>
    <t>Mains L2L3 Volts</t>
  </si>
  <si>
    <t>Mains L3L1 Volts</t>
  </si>
  <si>
    <t xml:space="preserve">Mains Phase L1 </t>
  </si>
  <si>
    <t>Mains Phase L2</t>
  </si>
  <si>
    <t xml:space="preserve">Mains Phase L3 </t>
  </si>
  <si>
    <t xml:space="preserve">Mains Phase Total </t>
  </si>
  <si>
    <t>Mains  Volt LL Avg</t>
  </si>
  <si>
    <t>Mains  Volts LL Diff</t>
  </si>
  <si>
    <t>Mains  Volts LL Max</t>
  </si>
  <si>
    <t>Generator Group</t>
  </si>
  <si>
    <t>Generator Frequency</t>
  </si>
  <si>
    <t>Generator L3 Volts</t>
  </si>
  <si>
    <t>Generator L1 L2 Volts</t>
  </si>
  <si>
    <t>Generator L3 L2 Volts</t>
  </si>
  <si>
    <t>Generator L3 L1 Volts</t>
  </si>
  <si>
    <t>Generator phase L1</t>
  </si>
  <si>
    <t>Generator phase L2</t>
  </si>
  <si>
    <t>Generator phase  L3</t>
  </si>
  <si>
    <t>Generator phase Total</t>
  </si>
  <si>
    <t>Generator  Volt LL Avg</t>
  </si>
  <si>
    <t>Generator Volt LL  Diff</t>
  </si>
  <si>
    <t>Generator Volt LL  Min</t>
  </si>
  <si>
    <t>Generator Volt LL Max</t>
  </si>
  <si>
    <t>Generator Rotation</t>
  </si>
  <si>
    <t>Engine Group</t>
  </si>
  <si>
    <t>Engine Oil Press</t>
  </si>
  <si>
    <t>Engine Temp</t>
  </si>
  <si>
    <t>Engine Charge Alt Volts</t>
  </si>
  <si>
    <t>Engine Battery Volts</t>
  </si>
  <si>
    <t>Engine Speed Display</t>
  </si>
  <si>
    <t>UPS Parameters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</si>
  <si>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 UPS  Main Paramater</t>
    </r>
  </si>
  <si>
    <t>UPS Battery Status</t>
  </si>
  <si>
    <t>UPS Ident Manufacturer</t>
  </si>
  <si>
    <t>UPS Ident Model</t>
  </si>
  <si>
    <t>UPS Ident Software Version</t>
  </si>
  <si>
    <t>UPS Serial Number</t>
  </si>
  <si>
    <t>UPS Est Minutes Remaining</t>
  </si>
  <si>
    <t>UPS BatteryCurrent</t>
  </si>
  <si>
    <t>UPS Battery Temperature</t>
  </si>
  <si>
    <t>UPS input Frequency</t>
  </si>
  <si>
    <t>UPS Input Line Bads</t>
  </si>
  <si>
    <t>UPS Input Voltage</t>
  </si>
  <si>
    <t xml:space="preserve">UPS Input Current </t>
  </si>
  <si>
    <t xml:space="preserve">UPS Input True Power </t>
  </si>
  <si>
    <t>UPS Output Source</t>
  </si>
  <si>
    <t>UPS Output Frequency</t>
  </si>
  <si>
    <t xml:space="preserve">UPS output Current </t>
  </si>
  <si>
    <t xml:space="preserve">UPS output Power </t>
  </si>
  <si>
    <t>UPS Bypass Frequency</t>
  </si>
  <si>
    <t>UPS Bypass Numlines</t>
  </si>
  <si>
    <t>UPS Bypass Voltage</t>
  </si>
  <si>
    <t xml:space="preserve">UPS Bypass Current </t>
  </si>
  <si>
    <t xml:space="preserve">UPS Bypass Power </t>
  </si>
  <si>
    <t>Max Value</t>
  </si>
  <si>
    <t xml:space="preserve">  </t>
  </si>
  <si>
    <t>Revison Table</t>
  </si>
  <si>
    <t>Initial Draft</t>
  </si>
  <si>
    <t xml:space="preserve">64 byte String </t>
  </si>
  <si>
    <t xml:space="preserve"> NonNegativeInteger</t>
  </si>
  <si>
    <t xml:space="preserve">         0-(Inactive)</t>
  </si>
  <si>
    <t xml:space="preserve">          1- (Active)</t>
  </si>
  <si>
    <t>Inactive</t>
  </si>
  <si>
    <t>Active</t>
  </si>
  <si>
    <t>Status</t>
  </si>
  <si>
    <t>Down Link</t>
  </si>
  <si>
    <t>UP link</t>
  </si>
  <si>
    <t>dBm</t>
  </si>
  <si>
    <t xml:space="preserve">UPS  Parameters are not Available. Some parameters are not Avilable in the MIB File for DG. </t>
  </si>
  <si>
    <t>Sl</t>
  </si>
  <si>
    <t>Trap ID</t>
  </si>
  <si>
    <t>Trap description</t>
  </si>
  <si>
    <t>txpllLock</t>
  </si>
  <si>
    <t>rxpllLock</t>
  </si>
  <si>
    <t>txLowPower</t>
  </si>
  <si>
    <t>syncLossSlt1</t>
  </si>
  <si>
    <t>syncLossSlt2</t>
  </si>
  <si>
    <t>syncLossSlt3</t>
  </si>
  <si>
    <t>syncLossSlt4</t>
  </si>
  <si>
    <t>syncLossSlt5</t>
  </si>
  <si>
    <t>syncLossSlt6</t>
  </si>
  <si>
    <t>sysVoltagesOutOfLimitminus5V</t>
  </si>
  <si>
    <t>sysVoltagesOutOfLimitplu5V</t>
  </si>
  <si>
    <t>sysVoltagesOutOfLimitplus30V</t>
  </si>
  <si>
    <t>sysVoltagesOutOfLimitplus49V</t>
  </si>
  <si>
    <t>Emitted when txPLL  1- lock</t>
  </si>
  <si>
    <t>rxPLL-lock status 0 - unlock</t>
  </si>
  <si>
    <t>Transmit power low notification  1- lock</t>
  </si>
  <si>
    <t>Synchronization lost notification for slot1</t>
  </si>
  <si>
    <t>Synchronization lost notification for slot2</t>
  </si>
  <si>
    <t>Synchronization lost notification for slot3</t>
  </si>
  <si>
    <t>Synchronization lost notification for slot4</t>
  </si>
  <si>
    <t>Synchronization lost notification for slot5</t>
  </si>
  <si>
    <t>Synchronization lost notification for slot6</t>
  </si>
  <si>
    <t>abnormal voltages minus 5V</t>
  </si>
  <si>
    <t>abnormal voltages plus 5V</t>
  </si>
  <si>
    <t>abnormal voltages plus 30V</t>
  </si>
  <si>
    <t>abnormal voltages plus 49V</t>
  </si>
  <si>
    <t>Link Down</t>
  </si>
  <si>
    <t>Cold Start</t>
  </si>
  <si>
    <t>Warm Start</t>
  </si>
  <si>
    <t>Link UP</t>
  </si>
  <si>
    <t>Aunthentication failed</t>
  </si>
  <si>
    <t>Icomm</t>
  </si>
  <si>
    <t>upsAlarmBatteryBad</t>
  </si>
  <si>
    <t>upsAlarmOnBattery</t>
  </si>
  <si>
    <t>upsAlarmLowBattery</t>
  </si>
  <si>
    <t>upsAlarmDepletedBattery</t>
  </si>
  <si>
    <t>upsAlarmTempBad</t>
  </si>
  <si>
    <t>upsAlarmInputBad</t>
  </si>
  <si>
    <t>upsAlarmOutputBad</t>
  </si>
  <si>
    <t>upsAlarmOutputOverload</t>
  </si>
  <si>
    <t>upsAlarmOnBypass</t>
  </si>
  <si>
    <t>upsAlarmOutputOffAsRequested</t>
  </si>
  <si>
    <t>upsAlarmUpsOffAsRequested</t>
  </si>
  <si>
    <t>upsAlarmChargerFailed</t>
  </si>
  <si>
    <t>upsAlarmUpsOutputOff</t>
  </si>
  <si>
    <t>upsAlarmGeneralFault</t>
  </si>
  <si>
    <t>upsAlarmCommunicationsLost</t>
  </si>
  <si>
    <t>alarmTransferswitchSourceAFailure</t>
  </si>
  <si>
    <t>alarmTransferswitchSourceBFailure</t>
  </si>
  <si>
    <t>alarmTransferswitchRedundancyLost</t>
  </si>
  <si>
    <t>alarmTransferswitchOutputOverload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</si>
</sst>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_);\(&quot;$&quot;#,##0\)"/>
    <numFmt numFmtId="165" formatCode="&quot;$&quot;#,##0_);[Red]\(&quot;$&quot;#,##0\)"/>
    <numFmt numFmtId="166" formatCode="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2"/>
      <color theme="1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64" fontId="1" fillId="0" borderId="0" applyFont="0" applyFill="0" applyBorder="0" applyAlignment="0" applyProtection="0"/>
    <xf numFmtId="0" fontId="3" fillId="0" borderId="0"/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5" fontId="1" fillId="4" borderId="0" applyFont="0" applyBorder="0" applyAlignment="0"/>
    <xf numFmtId="14" fontId="1" fillId="0" borderId="0" applyFont="0" applyFill="0" applyBorder="0" applyAlignment="0"/>
    <xf numFmtId="166" fontId="1" fillId="0" borderId="0" applyFont="0" applyFill="0" applyBorder="0" applyAlignment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9" fillId="7" borderId="10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0" xfId="0" applyFill="1"/>
    <xf numFmtId="0" fontId="8" fillId="8" borderId="0" xfId="0" applyFont="1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4" fillId="0" borderId="10" xfId="0" applyFont="1" applyBorder="1"/>
    <xf numFmtId="0" fontId="4" fillId="9" borderId="10" xfId="0" applyFont="1" applyFill="1" applyBorder="1"/>
    <xf numFmtId="0" fontId="11" fillId="0" borderId="10" xfId="0" applyFont="1" applyBorder="1"/>
    <xf numFmtId="0" fontId="12" fillId="0" borderId="10" xfId="0" applyFont="1" applyBorder="1"/>
    <xf numFmtId="0" fontId="4" fillId="10" borderId="10" xfId="0" applyFont="1" applyFill="1" applyBorder="1"/>
    <xf numFmtId="0" fontId="4" fillId="11" borderId="10" xfId="0" applyFont="1" applyFill="1" applyBorder="1"/>
    <xf numFmtId="0" fontId="4" fillId="0" borderId="0" xfId="0" applyFont="1"/>
    <xf numFmtId="0" fontId="13" fillId="0" borderId="10" xfId="0" applyFont="1" applyBorder="1"/>
    <xf numFmtId="0" fontId="0" fillId="14" borderId="10" xfId="0" applyFill="1" applyBorder="1" applyAlignment="1">
      <alignment horizontal="center"/>
    </xf>
    <xf numFmtId="0" fontId="8" fillId="14" borderId="10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10" xfId="0" applyFill="1" applyBorder="1" applyAlignment="1">
      <alignment horizontal="center"/>
    </xf>
    <xf numFmtId="0" fontId="8" fillId="15" borderId="10" xfId="0" applyFont="1" applyFill="1" applyBorder="1" applyAlignment="1">
      <alignment horizontal="center"/>
    </xf>
    <xf numFmtId="0" fontId="4" fillId="15" borderId="10" xfId="0" applyFont="1" applyFill="1" applyBorder="1" applyAlignment="1">
      <alignment horizontal="center"/>
    </xf>
    <xf numFmtId="0" fontId="0" fillId="15" borderId="10" xfId="0" applyFill="1" applyBorder="1"/>
    <xf numFmtId="0" fontId="4" fillId="16" borderId="10" xfId="0" applyFont="1" applyFill="1" applyBorder="1"/>
    <xf numFmtId="0" fontId="0" fillId="0" borderId="10" xfId="0" applyFill="1" applyBorder="1"/>
    <xf numFmtId="0" fontId="14" fillId="10" borderId="10" xfId="0" applyFont="1" applyFill="1" applyBorder="1"/>
    <xf numFmtId="0" fontId="15" fillId="16" borderId="10" xfId="0" applyFont="1" applyFill="1" applyBorder="1"/>
    <xf numFmtId="0" fontId="8" fillId="15" borderId="10" xfId="0" applyFont="1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4">
    <cellStyle name="Bottom Border" xfId="15" xr:uid="{00000000-0005-0000-0000-000000000000}"/>
    <cellStyle name="Bottom Green Border" xfId="18" xr:uid="{00000000-0005-0000-0000-000001000000}"/>
    <cellStyle name="Currency" xfId="7" builtinId="4" customBuiltin="1"/>
    <cellStyle name="Date" xfId="22" xr:uid="{00000000-0005-0000-0000-000004000000}"/>
    <cellStyle name="Followed Hyperlink" xfId="2" builtinId="9" hidden="1"/>
    <cellStyle name="Followed Hyperlink" xfId="1" builtinId="9" hidden="1"/>
    <cellStyle name="GrayCell" xfId="3" xr:uid="{00000000-0005-0000-0000-000007000000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ighlight" xfId="21" xr:uid="{00000000-0005-0000-0000-00000C000000}"/>
    <cellStyle name="Left Border" xfId="6" xr:uid="{00000000-0005-0000-0000-00000D000000}"/>
    <cellStyle name="Left Bottom Green Border" xfId="19" xr:uid="{00000000-0005-0000-0000-00000E000000}"/>
    <cellStyle name="Left Green Border" xfId="16" xr:uid="{00000000-0005-0000-0000-00000F000000}"/>
    <cellStyle name="Normal" xfId="0" builtinId="0"/>
    <cellStyle name="OrangeBorder" xfId="5" xr:uid="{00000000-0005-0000-0000-000011000000}"/>
    <cellStyle name="Right Bottom Green Border" xfId="20" xr:uid="{00000000-0005-0000-0000-000012000000}"/>
    <cellStyle name="Right Green Border" xfId="17" xr:uid="{00000000-0005-0000-0000-000013000000}"/>
    <cellStyle name="Start Text" xfId="9" xr:uid="{00000000-0005-0000-0000-000014000000}"/>
    <cellStyle name="Title" xfId="10" builtinId="15" customBuiltin="1"/>
    <cellStyle name="Year" xfId="23" xr:uid="{00000000-0005-0000-0000-000016000000}"/>
    <cellStyle name="YellowCell" xfId="4" xr:uid="{00000000-0005-0000-0000-000017000000}"/>
    <cellStyle name="z A Column text" xfId="8" xr:uid="{00000000-0005-0000-0000-000018000000}"/>
  </cellStyles>
  <dxfs count="4"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CustomTableStyle" defaultPivotStyle="PivotStyleLight16">
    <tableStyle name="CustomTableStyle" pivot="0" count="2" xr9:uid="{00000000-0011-0000-FFFF-FFFF00000000}">
      <tableStyleElement type="headerRow" dxfId="3"/>
      <tableStyleElement type="firstRowStripe" dxfId="2"/>
    </tableStyle>
    <tableStyle name="PivotTable Style 1" table="0" count="2" xr9:uid="{00000000-0011-0000-FFFF-FFFF01000000}">
      <tableStyleElement type="headerRow" dxfId="1"/>
      <tableStyleElement type="totalRow" dxfId="0"/>
    </tableStyle>
  </tableStyles>
  <colors>
    <mruColors>
      <color rgb="FF339966"/>
      <color rgb="FF217346"/>
      <color rgb="FFFFFF99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07A6-775B-4C7F-8F6E-2C0F8B82BA99}">
  <dimension ref="A1:D5"/>
  <sheetViews>
    <sheetView workbookViewId="0">
      <selection activeCell="E18" sqref="E18"/>
    </sheetView>
  </sheetViews>
  <sheetFormatPr defaultRowHeight="15" x14ac:dyDescent="0.25"/>
  <cols>
    <col min="1" max="1" width="15.85546875" customWidth="1"/>
    <col min="2" max="2" width="13.5703125" customWidth="1"/>
    <col min="3" max="3" width="15.5703125" customWidth="1"/>
    <col min="4" max="4" width="51.85546875" customWidth="1"/>
  </cols>
  <sheetData>
    <row r="1" spans="1:4" x14ac:dyDescent="0.25">
      <c r="A1" s="21" t="s">
        <v>103</v>
      </c>
    </row>
    <row r="2" spans="1:4" x14ac:dyDescent="0.25">
      <c r="A2" s="28" t="s">
        <v>0</v>
      </c>
      <c r="B2" s="28" t="s">
        <v>1</v>
      </c>
      <c r="C2" s="28" t="s">
        <v>2</v>
      </c>
      <c r="D2" s="28" t="s">
        <v>3</v>
      </c>
    </row>
    <row r="3" spans="1:4" ht="30" x14ac:dyDescent="0.25">
      <c r="A3" s="3">
        <v>1</v>
      </c>
      <c r="B3" s="3" t="s">
        <v>104</v>
      </c>
      <c r="C3" s="3" t="s">
        <v>150</v>
      </c>
      <c r="D3" s="14" t="s">
        <v>115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5301-70D2-4782-9749-ACE198EF67F8}">
  <dimension ref="A1:H71"/>
  <sheetViews>
    <sheetView workbookViewId="0">
      <selection activeCell="H28" sqref="H28"/>
    </sheetView>
  </sheetViews>
  <sheetFormatPr defaultRowHeight="15" x14ac:dyDescent="0.25"/>
  <cols>
    <col min="1" max="1" width="7.28515625" bestFit="1" customWidth="1"/>
    <col min="2" max="2" width="25" bestFit="1" customWidth="1"/>
    <col min="3" max="3" width="23.140625" bestFit="1" customWidth="1"/>
    <col min="4" max="4" width="21.140625" bestFit="1" customWidth="1"/>
    <col min="6" max="7" width="11.85546875" bestFit="1" customWidth="1"/>
    <col min="8" max="8" width="10.140625" bestFit="1" customWidth="1"/>
  </cols>
  <sheetData>
    <row r="1" spans="1:8" ht="18.75" x14ac:dyDescent="0.3">
      <c r="A1" s="29"/>
      <c r="B1" s="30" t="s">
        <v>4</v>
      </c>
      <c r="C1" s="37" t="s">
        <v>5</v>
      </c>
      <c r="D1" s="38"/>
    </row>
    <row r="2" spans="1:8" ht="15.75" x14ac:dyDescent="0.25">
      <c r="A2" s="10" t="s">
        <v>6</v>
      </c>
      <c r="B2" s="9" t="s">
        <v>7</v>
      </c>
      <c r="C2" s="11" t="s">
        <v>8</v>
      </c>
      <c r="D2" s="11" t="s">
        <v>9</v>
      </c>
    </row>
    <row r="3" spans="1:8" x14ac:dyDescent="0.25">
      <c r="A3" s="3">
        <v>1</v>
      </c>
      <c r="B3" s="3" t="s">
        <v>10</v>
      </c>
      <c r="C3" s="6" t="s">
        <v>107</v>
      </c>
      <c r="D3" s="3" t="s">
        <v>108</v>
      </c>
      <c r="F3" s="16" t="s">
        <v>10</v>
      </c>
      <c r="G3" s="20">
        <v>1</v>
      </c>
      <c r="H3" s="19">
        <v>0</v>
      </c>
    </row>
    <row r="4" spans="1:8" x14ac:dyDescent="0.25">
      <c r="A4" s="3">
        <v>2</v>
      </c>
      <c r="B4" s="3" t="s">
        <v>11</v>
      </c>
      <c r="C4" s="6" t="s">
        <v>12</v>
      </c>
      <c r="D4" s="3" t="s">
        <v>13</v>
      </c>
      <c r="F4" s="15" t="s">
        <v>111</v>
      </c>
      <c r="G4" s="18" t="s">
        <v>110</v>
      </c>
      <c r="H4" s="17" t="s">
        <v>109</v>
      </c>
    </row>
    <row r="5" spans="1:8" x14ac:dyDescent="0.25">
      <c r="A5" s="3">
        <v>3</v>
      </c>
      <c r="B5" s="3" t="s">
        <v>14</v>
      </c>
      <c r="C5" s="6">
        <v>15</v>
      </c>
      <c r="D5" s="3">
        <v>36</v>
      </c>
      <c r="F5" s="2"/>
      <c r="G5" s="2"/>
      <c r="H5" s="2"/>
    </row>
    <row r="6" spans="1:8" x14ac:dyDescent="0.25">
      <c r="A6" s="3">
        <v>4</v>
      </c>
      <c r="B6" s="3" t="s">
        <v>15</v>
      </c>
      <c r="C6" s="6" t="s">
        <v>16</v>
      </c>
      <c r="D6" s="3" t="s">
        <v>17</v>
      </c>
    </row>
    <row r="7" spans="1:8" x14ac:dyDescent="0.25">
      <c r="A7" s="3">
        <v>5</v>
      </c>
      <c r="B7" s="3" t="s">
        <v>18</v>
      </c>
      <c r="C7" s="6" t="s">
        <v>19</v>
      </c>
      <c r="D7" s="3" t="s">
        <v>20</v>
      </c>
    </row>
    <row r="8" spans="1:8" x14ac:dyDescent="0.25">
      <c r="A8" s="3">
        <v>6</v>
      </c>
      <c r="B8" s="3" t="s">
        <v>21</v>
      </c>
      <c r="C8" s="6">
        <v>1</v>
      </c>
      <c r="D8" s="3">
        <v>302</v>
      </c>
      <c r="F8" s="16" t="s">
        <v>18</v>
      </c>
      <c r="G8" s="35">
        <v>2</v>
      </c>
      <c r="H8" s="20">
        <v>1</v>
      </c>
    </row>
    <row r="9" spans="1:8" x14ac:dyDescent="0.25">
      <c r="A9" s="3">
        <v>7</v>
      </c>
      <c r="B9" s="3"/>
      <c r="C9" s="6"/>
      <c r="D9" s="3"/>
      <c r="F9" s="15" t="s">
        <v>111</v>
      </c>
      <c r="G9" s="17" t="s">
        <v>112</v>
      </c>
      <c r="H9" s="18" t="s">
        <v>113</v>
      </c>
    </row>
    <row r="10" spans="1:8" x14ac:dyDescent="0.25">
      <c r="A10" s="3">
        <v>8</v>
      </c>
      <c r="B10" s="31" t="s">
        <v>22</v>
      </c>
      <c r="C10" s="31" t="s">
        <v>114</v>
      </c>
      <c r="D10" s="31" t="s">
        <v>114</v>
      </c>
      <c r="F10" s="2"/>
      <c r="G10" s="2"/>
      <c r="H10" s="2"/>
    </row>
    <row r="11" spans="1:8" x14ac:dyDescent="0.25">
      <c r="A11" s="3">
        <v>9</v>
      </c>
      <c r="B11" s="3" t="s">
        <v>23</v>
      </c>
      <c r="C11" s="3">
        <v>30</v>
      </c>
      <c r="D11" s="3">
        <v>90</v>
      </c>
    </row>
    <row r="12" spans="1:8" x14ac:dyDescent="0.25">
      <c r="A12" s="3">
        <v>10</v>
      </c>
      <c r="B12" s="3" t="s">
        <v>24</v>
      </c>
      <c r="C12" s="3" t="s">
        <v>25</v>
      </c>
      <c r="D12" s="3" t="s">
        <v>26</v>
      </c>
    </row>
    <row r="13" spans="1:8" x14ac:dyDescent="0.25">
      <c r="A13" s="3">
        <v>11</v>
      </c>
      <c r="B13" s="3" t="s">
        <v>27</v>
      </c>
      <c r="C13" s="3">
        <v>15</v>
      </c>
      <c r="D13" s="3">
        <v>27</v>
      </c>
    </row>
    <row r="14" spans="1:8" x14ac:dyDescent="0.25">
      <c r="A14" s="3">
        <v>12</v>
      </c>
      <c r="B14" s="3" t="s">
        <v>28</v>
      </c>
      <c r="C14" s="3">
        <v>15</v>
      </c>
      <c r="D14" s="3">
        <v>36</v>
      </c>
    </row>
    <row r="15" spans="1:8" x14ac:dyDescent="0.25">
      <c r="A15" s="3">
        <v>13</v>
      </c>
      <c r="B15" s="3"/>
      <c r="C15" s="3"/>
      <c r="D15" s="3"/>
    </row>
    <row r="16" spans="1:8" x14ac:dyDescent="0.25">
      <c r="A16" s="3">
        <v>14</v>
      </c>
      <c r="B16" s="31" t="s">
        <v>29</v>
      </c>
      <c r="C16" s="31" t="s">
        <v>114</v>
      </c>
      <c r="D16" s="31" t="s">
        <v>114</v>
      </c>
    </row>
    <row r="17" spans="1:4" x14ac:dyDescent="0.25">
      <c r="A17" s="3">
        <v>15</v>
      </c>
      <c r="B17" s="3" t="s">
        <v>30</v>
      </c>
      <c r="C17" s="3" t="s">
        <v>31</v>
      </c>
      <c r="D17" s="3" t="s">
        <v>30</v>
      </c>
    </row>
    <row r="18" spans="1:4" x14ac:dyDescent="0.25">
      <c r="A18" s="3">
        <v>16</v>
      </c>
      <c r="B18" s="3" t="s">
        <v>32</v>
      </c>
      <c r="C18" s="2" t="s">
        <v>33</v>
      </c>
      <c r="D18" s="3" t="s">
        <v>31</v>
      </c>
    </row>
    <row r="19" spans="1:4" x14ac:dyDescent="0.25">
      <c r="A19" s="3">
        <v>17</v>
      </c>
      <c r="B19" s="3" t="s">
        <v>34</v>
      </c>
      <c r="C19" s="3" t="s">
        <v>31</v>
      </c>
      <c r="D19" s="3" t="s">
        <v>34</v>
      </c>
    </row>
    <row r="20" spans="1:4" x14ac:dyDescent="0.25">
      <c r="A20" s="3">
        <v>18</v>
      </c>
      <c r="B20" s="3" t="s">
        <v>35</v>
      </c>
      <c r="C20" s="3" t="s">
        <v>31</v>
      </c>
      <c r="D20" s="3" t="s">
        <v>35</v>
      </c>
    </row>
    <row r="21" spans="1:4" x14ac:dyDescent="0.25">
      <c r="A21" s="3">
        <v>19</v>
      </c>
      <c r="B21" s="3"/>
      <c r="C21" s="3"/>
      <c r="D21" s="3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DE2C-8B3B-429B-AC0D-0A9885B856D5}">
  <dimension ref="A1:E65"/>
  <sheetViews>
    <sheetView workbookViewId="0">
      <selection activeCell="J15" sqref="J15"/>
    </sheetView>
  </sheetViews>
  <sheetFormatPr defaultRowHeight="15" x14ac:dyDescent="0.25"/>
  <cols>
    <col min="1" max="1" width="5.5703125" bestFit="1" customWidth="1"/>
    <col min="2" max="2" width="25.85546875" bestFit="1" customWidth="1"/>
    <col min="3" max="3" width="18.7109375" bestFit="1" customWidth="1"/>
    <col min="4" max="4" width="18.7109375" customWidth="1"/>
  </cols>
  <sheetData>
    <row r="1" spans="1:4" ht="18.75" x14ac:dyDescent="0.3">
      <c r="A1" s="39" t="s">
        <v>77</v>
      </c>
      <c r="B1" s="40"/>
      <c r="C1" s="41"/>
      <c r="D1" s="13"/>
    </row>
    <row r="2" spans="1:4" ht="15.75" x14ac:dyDescent="0.25">
      <c r="A2" s="7" t="s">
        <v>37</v>
      </c>
      <c r="B2" s="8" t="s">
        <v>78</v>
      </c>
      <c r="C2" s="9" t="s">
        <v>39</v>
      </c>
      <c r="D2" s="9" t="s">
        <v>101</v>
      </c>
    </row>
    <row r="3" spans="1:4" x14ac:dyDescent="0.25">
      <c r="A3" s="5">
        <v>1</v>
      </c>
      <c r="B3" s="5" t="s">
        <v>79</v>
      </c>
      <c r="C3" s="48" t="s">
        <v>105</v>
      </c>
      <c r="D3" s="49"/>
    </row>
    <row r="4" spans="1:4" x14ac:dyDescent="0.25">
      <c r="A4" s="5">
        <v>2</v>
      </c>
      <c r="B4" s="5" t="s">
        <v>80</v>
      </c>
      <c r="C4" s="50"/>
      <c r="D4" s="51"/>
    </row>
    <row r="5" spans="1:4" x14ac:dyDescent="0.25">
      <c r="A5" s="5">
        <v>3</v>
      </c>
      <c r="B5" s="5" t="s">
        <v>81</v>
      </c>
      <c r="C5" s="50"/>
      <c r="D5" s="51"/>
    </row>
    <row r="6" spans="1:4" x14ac:dyDescent="0.25">
      <c r="A6" s="5">
        <v>4</v>
      </c>
      <c r="B6" s="5" t="s">
        <v>82</v>
      </c>
      <c r="C6" s="50"/>
      <c r="D6" s="51"/>
    </row>
    <row r="7" spans="1:4" x14ac:dyDescent="0.25">
      <c r="A7" s="5">
        <v>5</v>
      </c>
      <c r="B7" s="5" t="s">
        <v>83</v>
      </c>
      <c r="C7" s="50"/>
      <c r="D7" s="51"/>
    </row>
    <row r="8" spans="1:4" x14ac:dyDescent="0.25">
      <c r="A8" s="5">
        <v>6</v>
      </c>
      <c r="B8" s="5"/>
      <c r="C8" s="50"/>
      <c r="D8" s="51"/>
    </row>
    <row r="9" spans="1:4" x14ac:dyDescent="0.25">
      <c r="A9" s="5">
        <v>7</v>
      </c>
      <c r="B9" s="5" t="s">
        <v>84</v>
      </c>
      <c r="C9" s="52"/>
      <c r="D9" s="53"/>
    </row>
    <row r="10" spans="1:4" x14ac:dyDescent="0.25">
      <c r="A10" s="5">
        <v>8</v>
      </c>
      <c r="B10" s="5" t="s">
        <v>85</v>
      </c>
      <c r="C10" s="42" t="s">
        <v>106</v>
      </c>
      <c r="D10" s="43"/>
    </row>
    <row r="11" spans="1:4" x14ac:dyDescent="0.25">
      <c r="A11" s="5">
        <v>9</v>
      </c>
      <c r="B11" s="5" t="s">
        <v>86</v>
      </c>
      <c r="C11" s="44"/>
      <c r="D11" s="45"/>
    </row>
    <row r="12" spans="1:4" x14ac:dyDescent="0.25">
      <c r="A12" s="5">
        <v>10</v>
      </c>
      <c r="B12" s="5" t="s">
        <v>87</v>
      </c>
      <c r="C12" s="44"/>
      <c r="D12" s="45"/>
    </row>
    <row r="13" spans="1:4" x14ac:dyDescent="0.25">
      <c r="A13" s="5">
        <v>11</v>
      </c>
      <c r="B13" s="5" t="s">
        <v>88</v>
      </c>
      <c r="C13" s="44"/>
      <c r="D13" s="45"/>
    </row>
    <row r="14" spans="1:4" x14ac:dyDescent="0.25">
      <c r="A14" s="5">
        <v>12</v>
      </c>
      <c r="B14" s="5" t="s">
        <v>89</v>
      </c>
      <c r="C14" s="44"/>
      <c r="D14" s="45"/>
    </row>
    <row r="15" spans="1:4" x14ac:dyDescent="0.25">
      <c r="A15" s="5">
        <v>13</v>
      </c>
      <c r="B15" s="5" t="s">
        <v>90</v>
      </c>
      <c r="C15" s="44"/>
      <c r="D15" s="45"/>
    </row>
    <row r="16" spans="1:4" x14ac:dyDescent="0.25">
      <c r="A16" s="5">
        <v>14</v>
      </c>
      <c r="B16" s="5" t="s">
        <v>91</v>
      </c>
      <c r="C16" s="44"/>
      <c r="D16" s="45"/>
    </row>
    <row r="17" spans="1:5" x14ac:dyDescent="0.25">
      <c r="A17" s="5">
        <v>15</v>
      </c>
      <c r="B17" s="5" t="s">
        <v>92</v>
      </c>
      <c r="C17" s="44"/>
      <c r="D17" s="45"/>
    </row>
    <row r="18" spans="1:5" x14ac:dyDescent="0.25">
      <c r="A18" s="5">
        <v>16</v>
      </c>
      <c r="B18" s="5" t="s">
        <v>93</v>
      </c>
      <c r="C18" s="44"/>
      <c r="D18" s="45"/>
    </row>
    <row r="19" spans="1:5" x14ac:dyDescent="0.25">
      <c r="A19" s="5">
        <v>17</v>
      </c>
      <c r="B19" s="5" t="s">
        <v>94</v>
      </c>
      <c r="C19" s="44"/>
      <c r="D19" s="45"/>
    </row>
    <row r="20" spans="1:5" x14ac:dyDescent="0.25">
      <c r="A20" s="5">
        <v>18</v>
      </c>
      <c r="B20" s="5" t="s">
        <v>95</v>
      </c>
      <c r="C20" s="44"/>
      <c r="D20" s="45"/>
    </row>
    <row r="21" spans="1:5" x14ac:dyDescent="0.25">
      <c r="A21" s="5">
        <v>19</v>
      </c>
      <c r="B21" s="5" t="s">
        <v>96</v>
      </c>
      <c r="C21" s="44"/>
      <c r="D21" s="45"/>
    </row>
    <row r="22" spans="1:5" x14ac:dyDescent="0.25">
      <c r="A22" s="5">
        <v>20</v>
      </c>
      <c r="B22" s="5" t="s">
        <v>97</v>
      </c>
      <c r="C22" s="44"/>
      <c r="D22" s="45"/>
    </row>
    <row r="23" spans="1:5" x14ac:dyDescent="0.25">
      <c r="A23" s="5">
        <v>21</v>
      </c>
      <c r="B23" s="5" t="s">
        <v>98</v>
      </c>
      <c r="C23" s="44"/>
      <c r="D23" s="45"/>
    </row>
    <row r="24" spans="1:5" x14ac:dyDescent="0.25">
      <c r="A24" s="5">
        <v>22</v>
      </c>
      <c r="B24" s="5" t="s">
        <v>99</v>
      </c>
      <c r="C24" s="44"/>
      <c r="D24" s="45"/>
      <c r="E24" s="1"/>
    </row>
    <row r="25" spans="1:5" x14ac:dyDescent="0.25">
      <c r="A25" s="5">
        <v>23</v>
      </c>
      <c r="B25" s="5" t="s">
        <v>100</v>
      </c>
      <c r="C25" s="46"/>
      <c r="D25" s="47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</sheetData>
  <mergeCells count="3">
    <mergeCell ref="A1:C1"/>
    <mergeCell ref="C10:D25"/>
    <mergeCell ref="C3:D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9109-95B0-409A-A152-3CC11711CD2C}">
  <dimension ref="A1:I41"/>
  <sheetViews>
    <sheetView topLeftCell="A13" workbookViewId="0">
      <selection activeCell="F30" sqref="F30"/>
    </sheetView>
  </sheetViews>
  <sheetFormatPr defaultRowHeight="15" x14ac:dyDescent="0.25"/>
  <cols>
    <col min="1" max="1" width="10.42578125" customWidth="1"/>
    <col min="2" max="2" width="25.140625" customWidth="1"/>
    <col min="3" max="3" width="24.5703125" bestFit="1" customWidth="1"/>
    <col min="4" max="4" width="19.42578125" bestFit="1" customWidth="1"/>
    <col min="5" max="5" width="19" customWidth="1"/>
    <col min="6" max="6" width="21.140625" customWidth="1"/>
  </cols>
  <sheetData>
    <row r="1" spans="1:9" ht="18.75" x14ac:dyDescent="0.3">
      <c r="A1" s="23"/>
      <c r="B1" s="24" t="s">
        <v>36</v>
      </c>
      <c r="C1" s="24" t="s">
        <v>102</v>
      </c>
      <c r="D1" s="24"/>
    </row>
    <row r="2" spans="1:9" ht="15.75" x14ac:dyDescent="0.25">
      <c r="A2" s="25" t="s">
        <v>37</v>
      </c>
      <c r="B2" s="26" t="s">
        <v>38</v>
      </c>
      <c r="C2" s="26" t="s">
        <v>39</v>
      </c>
      <c r="D2" s="26" t="s">
        <v>40</v>
      </c>
    </row>
    <row r="3" spans="1:9" x14ac:dyDescent="0.25">
      <c r="A3" s="3">
        <v>1</v>
      </c>
      <c r="B3" s="3" t="s">
        <v>41</v>
      </c>
      <c r="C3" s="3">
        <v>0</v>
      </c>
      <c r="D3" s="6">
        <v>70</v>
      </c>
    </row>
    <row r="4" spans="1:9" x14ac:dyDescent="0.25">
      <c r="A4" s="3">
        <v>2</v>
      </c>
      <c r="B4" s="3" t="s">
        <v>42</v>
      </c>
      <c r="C4" s="3">
        <v>0</v>
      </c>
      <c r="D4" s="6">
        <v>18000</v>
      </c>
    </row>
    <row r="5" spans="1:9" x14ac:dyDescent="0.25">
      <c r="A5" s="3">
        <v>3</v>
      </c>
      <c r="B5" s="3" t="s">
        <v>43</v>
      </c>
      <c r="C5" s="3">
        <v>0</v>
      </c>
      <c r="D5" s="6">
        <v>18000</v>
      </c>
    </row>
    <row r="6" spans="1:9" x14ac:dyDescent="0.25">
      <c r="A6" s="3">
        <v>4</v>
      </c>
      <c r="B6" s="3" t="s">
        <v>44</v>
      </c>
      <c r="C6" s="3">
        <v>0</v>
      </c>
      <c r="D6" s="6">
        <v>18000</v>
      </c>
    </row>
    <row r="7" spans="1:9" x14ac:dyDescent="0.25">
      <c r="A7" s="3">
        <v>5</v>
      </c>
      <c r="B7" s="3" t="s">
        <v>45</v>
      </c>
      <c r="C7" s="3">
        <v>0</v>
      </c>
      <c r="D7" s="6">
        <v>30000</v>
      </c>
    </row>
    <row r="8" spans="1:9" x14ac:dyDescent="0.25">
      <c r="A8" s="3">
        <v>6</v>
      </c>
      <c r="B8" s="3" t="s">
        <v>47</v>
      </c>
      <c r="C8" s="3">
        <v>0</v>
      </c>
      <c r="D8" s="6">
        <v>30000</v>
      </c>
    </row>
    <row r="9" spans="1:9" x14ac:dyDescent="0.25">
      <c r="A9" s="3">
        <v>7</v>
      </c>
      <c r="B9" s="3" t="s">
        <v>48</v>
      </c>
      <c r="C9" s="3">
        <v>0</v>
      </c>
      <c r="D9" s="6">
        <v>30000</v>
      </c>
    </row>
    <row r="10" spans="1:9" x14ac:dyDescent="0.25">
      <c r="A10" s="3">
        <v>8</v>
      </c>
      <c r="B10" s="3" t="s">
        <v>49</v>
      </c>
      <c r="C10" s="3">
        <v>0</v>
      </c>
      <c r="D10" s="3">
        <v>2</v>
      </c>
      <c r="I10" s="4"/>
    </row>
    <row r="11" spans="1:9" x14ac:dyDescent="0.25">
      <c r="A11" s="3">
        <v>9</v>
      </c>
      <c r="B11" s="3" t="s">
        <v>50</v>
      </c>
      <c r="C11" s="3">
        <v>0</v>
      </c>
      <c r="D11" s="3">
        <v>2</v>
      </c>
    </row>
    <row r="12" spans="1:9" x14ac:dyDescent="0.25">
      <c r="A12" s="3">
        <v>10</v>
      </c>
      <c r="B12" s="3" t="s">
        <v>51</v>
      </c>
      <c r="C12" s="3">
        <v>0</v>
      </c>
      <c r="D12" s="3">
        <v>2</v>
      </c>
    </row>
    <row r="13" spans="1:9" x14ac:dyDescent="0.25">
      <c r="A13" s="3">
        <v>11</v>
      </c>
      <c r="B13" s="3" t="s">
        <v>52</v>
      </c>
      <c r="C13" s="56" t="s">
        <v>46</v>
      </c>
      <c r="D13" s="57"/>
    </row>
    <row r="14" spans="1:9" x14ac:dyDescent="0.25">
      <c r="A14" s="3">
        <v>12</v>
      </c>
      <c r="B14" s="3" t="s">
        <v>53</v>
      </c>
      <c r="C14" s="3">
        <v>0</v>
      </c>
      <c r="D14" s="3">
        <v>30000</v>
      </c>
      <c r="F14" s="12"/>
    </row>
    <row r="15" spans="1:9" x14ac:dyDescent="0.25">
      <c r="A15" s="3">
        <v>13</v>
      </c>
      <c r="B15" s="3" t="s">
        <v>54</v>
      </c>
      <c r="C15" s="3">
        <v>0</v>
      </c>
      <c r="D15" s="3">
        <v>30000</v>
      </c>
    </row>
    <row r="16" spans="1:9" x14ac:dyDescent="0.25">
      <c r="A16" s="3">
        <v>14</v>
      </c>
      <c r="B16" s="3" t="s">
        <v>55</v>
      </c>
      <c r="C16" s="3">
        <v>0</v>
      </c>
      <c r="D16" s="3">
        <v>30000</v>
      </c>
    </row>
    <row r="17" spans="1:4" ht="15.75" x14ac:dyDescent="0.25">
      <c r="A17" s="27">
        <v>16</v>
      </c>
      <c r="B17" s="25" t="s">
        <v>56</v>
      </c>
      <c r="C17" s="26" t="s">
        <v>39</v>
      </c>
      <c r="D17" s="26" t="s">
        <v>40</v>
      </c>
    </row>
    <row r="18" spans="1:4" x14ac:dyDescent="0.25">
      <c r="A18" s="3">
        <v>17</v>
      </c>
      <c r="B18" s="3" t="s">
        <v>57</v>
      </c>
      <c r="C18" s="3">
        <v>0</v>
      </c>
      <c r="D18" s="3">
        <v>70</v>
      </c>
    </row>
    <row r="19" spans="1:4" x14ac:dyDescent="0.25">
      <c r="A19" s="3">
        <v>18</v>
      </c>
      <c r="B19" s="3" t="s">
        <v>58</v>
      </c>
      <c r="C19" s="3">
        <v>0</v>
      </c>
      <c r="D19" s="3">
        <v>18000</v>
      </c>
    </row>
    <row r="20" spans="1:4" x14ac:dyDescent="0.25">
      <c r="A20" s="3">
        <v>19</v>
      </c>
      <c r="B20" s="3" t="s">
        <v>59</v>
      </c>
      <c r="C20" s="3">
        <v>0</v>
      </c>
      <c r="D20" s="3">
        <v>30000</v>
      </c>
    </row>
    <row r="21" spans="1:4" x14ac:dyDescent="0.25">
      <c r="A21" s="3">
        <v>20</v>
      </c>
      <c r="B21" s="3" t="s">
        <v>60</v>
      </c>
      <c r="C21" s="3">
        <v>0</v>
      </c>
      <c r="D21" s="3">
        <v>30000</v>
      </c>
    </row>
    <row r="22" spans="1:4" x14ac:dyDescent="0.25">
      <c r="A22" s="3">
        <v>21</v>
      </c>
      <c r="B22" s="3" t="s">
        <v>61</v>
      </c>
      <c r="C22" s="3">
        <v>0</v>
      </c>
      <c r="D22" s="3">
        <v>30000</v>
      </c>
    </row>
    <row r="23" spans="1:4" x14ac:dyDescent="0.25">
      <c r="A23" s="3">
        <v>22</v>
      </c>
      <c r="B23" s="3" t="s">
        <v>62</v>
      </c>
      <c r="C23" s="3">
        <v>0</v>
      </c>
      <c r="D23" s="3">
        <v>2</v>
      </c>
    </row>
    <row r="24" spans="1:4" x14ac:dyDescent="0.25">
      <c r="A24" s="3">
        <v>23</v>
      </c>
      <c r="B24" s="3" t="s">
        <v>63</v>
      </c>
      <c r="C24" s="3">
        <v>0</v>
      </c>
      <c r="D24" s="3">
        <v>2</v>
      </c>
    </row>
    <row r="25" spans="1:4" x14ac:dyDescent="0.25">
      <c r="A25" s="3">
        <v>24</v>
      </c>
      <c r="B25" s="3" t="s">
        <v>64</v>
      </c>
      <c r="C25" s="3">
        <v>0</v>
      </c>
      <c r="D25" s="3">
        <v>2</v>
      </c>
    </row>
    <row r="26" spans="1:4" x14ac:dyDescent="0.25">
      <c r="A26" s="3">
        <v>25</v>
      </c>
      <c r="B26" s="3" t="s">
        <v>65</v>
      </c>
      <c r="C26" s="3">
        <v>0</v>
      </c>
      <c r="D26" s="3">
        <v>2</v>
      </c>
    </row>
    <row r="27" spans="1:4" x14ac:dyDescent="0.25">
      <c r="A27" s="3">
        <v>26</v>
      </c>
      <c r="B27" s="3" t="s">
        <v>66</v>
      </c>
      <c r="C27" s="3">
        <v>0</v>
      </c>
      <c r="D27" s="3">
        <v>30000</v>
      </c>
    </row>
    <row r="28" spans="1:4" x14ac:dyDescent="0.25">
      <c r="A28" s="3">
        <v>27</v>
      </c>
      <c r="B28" s="3" t="s">
        <v>67</v>
      </c>
      <c r="C28" s="3">
        <v>0</v>
      </c>
      <c r="D28" s="3">
        <v>30000</v>
      </c>
    </row>
    <row r="29" spans="1:4" x14ac:dyDescent="0.25">
      <c r="A29" s="3">
        <v>28</v>
      </c>
      <c r="B29" s="3" t="s">
        <v>68</v>
      </c>
      <c r="C29" s="3">
        <v>0</v>
      </c>
      <c r="D29" s="3">
        <v>30000</v>
      </c>
    </row>
    <row r="30" spans="1:4" x14ac:dyDescent="0.25">
      <c r="A30" s="3">
        <v>29</v>
      </c>
      <c r="B30" s="3" t="s">
        <v>69</v>
      </c>
      <c r="C30" s="3">
        <v>0</v>
      </c>
      <c r="D30" s="3">
        <v>30000</v>
      </c>
    </row>
    <row r="31" spans="1:4" x14ac:dyDescent="0.25">
      <c r="A31" s="3">
        <v>30</v>
      </c>
      <c r="B31" s="3" t="s">
        <v>70</v>
      </c>
      <c r="C31" s="3">
        <v>0</v>
      </c>
      <c r="D31" s="3">
        <v>3</v>
      </c>
    </row>
    <row r="32" spans="1:4" ht="15.75" x14ac:dyDescent="0.25">
      <c r="A32" s="27">
        <v>32</v>
      </c>
      <c r="B32" s="25" t="s">
        <v>71</v>
      </c>
      <c r="C32" s="26" t="s">
        <v>39</v>
      </c>
      <c r="D32" s="26" t="s">
        <v>40</v>
      </c>
    </row>
    <row r="33" spans="1:4" x14ac:dyDescent="0.25">
      <c r="A33" s="3">
        <v>33</v>
      </c>
      <c r="B33" s="3" t="s">
        <v>72</v>
      </c>
      <c r="C33" s="6">
        <v>0</v>
      </c>
      <c r="D33" s="6">
        <v>10000</v>
      </c>
    </row>
    <row r="34" spans="1:4" x14ac:dyDescent="0.25">
      <c r="A34" s="3">
        <v>34</v>
      </c>
      <c r="B34" s="3" t="s">
        <v>73</v>
      </c>
      <c r="C34" s="54" t="s">
        <v>46</v>
      </c>
      <c r="D34" s="55"/>
    </row>
    <row r="35" spans="1:4" x14ac:dyDescent="0.25">
      <c r="A35" s="3">
        <v>35</v>
      </c>
      <c r="B35" s="3" t="s">
        <v>74</v>
      </c>
      <c r="C35" s="6">
        <v>0</v>
      </c>
      <c r="D35" s="6">
        <v>40</v>
      </c>
    </row>
    <row r="36" spans="1:4" x14ac:dyDescent="0.25">
      <c r="A36" s="3">
        <v>36</v>
      </c>
      <c r="B36" s="3" t="s">
        <v>75</v>
      </c>
      <c r="C36" s="6">
        <v>0</v>
      </c>
      <c r="D36" s="6">
        <v>40</v>
      </c>
    </row>
    <row r="37" spans="1:4" x14ac:dyDescent="0.25">
      <c r="A37" s="3">
        <v>37</v>
      </c>
      <c r="B37" s="3" t="s">
        <v>76</v>
      </c>
      <c r="C37" s="6">
        <v>0</v>
      </c>
      <c r="D37" s="6">
        <v>6000</v>
      </c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</row>
    <row r="41" spans="1:4" x14ac:dyDescent="0.25">
      <c r="A41" s="1"/>
      <c r="B41" s="1"/>
    </row>
  </sheetData>
  <mergeCells count="2">
    <mergeCell ref="C34:D34"/>
    <mergeCell ref="C13:D13"/>
  </mergeCells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A773-F5FF-4924-A002-FCD48E8568FC}">
  <dimension ref="A1:C14"/>
  <sheetViews>
    <sheetView workbookViewId="0">
      <selection activeCell="F20" sqref="F20"/>
    </sheetView>
  </sheetViews>
  <sheetFormatPr defaultRowHeight="15" x14ac:dyDescent="0.25"/>
  <cols>
    <col min="2" max="2" width="29.7109375" bestFit="1" customWidth="1"/>
    <col min="3" max="3" width="38.28515625" bestFit="1" customWidth="1"/>
  </cols>
  <sheetData>
    <row r="1" spans="1:3" x14ac:dyDescent="0.25">
      <c r="A1" s="32" t="s">
        <v>116</v>
      </c>
      <c r="B1" s="32" t="s">
        <v>117</v>
      </c>
      <c r="C1" s="32" t="s">
        <v>118</v>
      </c>
    </row>
    <row r="2" spans="1:3" x14ac:dyDescent="0.25">
      <c r="A2" s="2">
        <v>1</v>
      </c>
      <c r="B2" s="2" t="s">
        <v>119</v>
      </c>
      <c r="C2" s="2" t="s">
        <v>132</v>
      </c>
    </row>
    <row r="3" spans="1:3" x14ac:dyDescent="0.25">
      <c r="A3" s="2">
        <f>A2+1</f>
        <v>2</v>
      </c>
      <c r="B3" s="2" t="s">
        <v>120</v>
      </c>
      <c r="C3" s="2" t="s">
        <v>133</v>
      </c>
    </row>
    <row r="4" spans="1:3" x14ac:dyDescent="0.25">
      <c r="A4" s="2">
        <f>A3+1</f>
        <v>3</v>
      </c>
      <c r="B4" s="2" t="s">
        <v>121</v>
      </c>
      <c r="C4" s="2" t="s">
        <v>134</v>
      </c>
    </row>
    <row r="5" spans="1:3" x14ac:dyDescent="0.25">
      <c r="A5" s="2">
        <f>A4+1</f>
        <v>4</v>
      </c>
      <c r="B5" s="2" t="s">
        <v>122</v>
      </c>
      <c r="C5" s="2" t="s">
        <v>135</v>
      </c>
    </row>
    <row r="6" spans="1:3" x14ac:dyDescent="0.25">
      <c r="A6" s="2">
        <f>A5+1</f>
        <v>5</v>
      </c>
      <c r="B6" s="2" t="s">
        <v>123</v>
      </c>
      <c r="C6" s="2" t="s">
        <v>136</v>
      </c>
    </row>
    <row r="7" spans="1:3" x14ac:dyDescent="0.25">
      <c r="A7" s="2">
        <v>6</v>
      </c>
      <c r="B7" s="2" t="s">
        <v>124</v>
      </c>
      <c r="C7" s="2" t="s">
        <v>137</v>
      </c>
    </row>
    <row r="8" spans="1:3" x14ac:dyDescent="0.25">
      <c r="A8" s="2">
        <v>7</v>
      </c>
      <c r="B8" s="2" t="s">
        <v>125</v>
      </c>
      <c r="C8" s="2" t="s">
        <v>138</v>
      </c>
    </row>
    <row r="9" spans="1:3" x14ac:dyDescent="0.25">
      <c r="A9" s="2">
        <v>8</v>
      </c>
      <c r="B9" s="2" t="s">
        <v>126</v>
      </c>
      <c r="C9" s="2" t="s">
        <v>139</v>
      </c>
    </row>
    <row r="10" spans="1:3" x14ac:dyDescent="0.25">
      <c r="A10" s="2">
        <v>9</v>
      </c>
      <c r="B10" s="2" t="s">
        <v>127</v>
      </c>
      <c r="C10" s="2" t="s">
        <v>140</v>
      </c>
    </row>
    <row r="11" spans="1:3" x14ac:dyDescent="0.25">
      <c r="A11" s="2">
        <v>10</v>
      </c>
      <c r="B11" s="2" t="s">
        <v>128</v>
      </c>
      <c r="C11" s="2" t="s">
        <v>141</v>
      </c>
    </row>
    <row r="12" spans="1:3" x14ac:dyDescent="0.25">
      <c r="A12" s="2">
        <v>11</v>
      </c>
      <c r="B12" s="2" t="s">
        <v>129</v>
      </c>
      <c r="C12" s="2" t="s">
        <v>142</v>
      </c>
    </row>
    <row r="13" spans="1:3" x14ac:dyDescent="0.25">
      <c r="A13" s="2">
        <v>12</v>
      </c>
      <c r="B13" s="2" t="s">
        <v>130</v>
      </c>
      <c r="C13" s="2" t="s">
        <v>143</v>
      </c>
    </row>
    <row r="14" spans="1:3" x14ac:dyDescent="0.25">
      <c r="A14" s="2">
        <v>13</v>
      </c>
      <c r="B14" s="2" t="s">
        <v>131</v>
      </c>
      <c r="C14" s="2" t="s">
        <v>144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CAE7-2ED5-4B2D-954C-49589B09C461}">
  <dimension ref="A1:C21"/>
  <sheetViews>
    <sheetView workbookViewId="0">
      <selection activeCell="F13" sqref="F13"/>
    </sheetView>
  </sheetViews>
  <sheetFormatPr defaultRowHeight="15" x14ac:dyDescent="0.25"/>
  <cols>
    <col min="3" max="3" width="38.28515625" bestFit="1" customWidth="1"/>
    <col min="4" max="4" width="9.28515625" customWidth="1"/>
  </cols>
  <sheetData>
    <row r="1" spans="1:3" x14ac:dyDescent="0.25">
      <c r="A1" s="33" t="s">
        <v>116</v>
      </c>
      <c r="B1" s="33" t="s">
        <v>117</v>
      </c>
      <c r="C1" s="33" t="s">
        <v>118</v>
      </c>
    </row>
    <row r="2" spans="1:3" ht="17.25" x14ac:dyDescent="0.3">
      <c r="A2" s="2">
        <v>1</v>
      </c>
      <c r="B2" s="22">
        <v>1</v>
      </c>
      <c r="C2" s="22" t="s">
        <v>151</v>
      </c>
    </row>
    <row r="3" spans="1:3" ht="17.25" x14ac:dyDescent="0.3">
      <c r="A3" s="2">
        <f>A2+1</f>
        <v>2</v>
      </c>
      <c r="B3" s="22">
        <v>2</v>
      </c>
      <c r="C3" s="22" t="s">
        <v>152</v>
      </c>
    </row>
    <row r="4" spans="1:3" ht="17.25" x14ac:dyDescent="0.3">
      <c r="A4" s="2">
        <f>A3+1</f>
        <v>3</v>
      </c>
      <c r="B4" s="22">
        <v>3</v>
      </c>
      <c r="C4" s="22" t="s">
        <v>153</v>
      </c>
    </row>
    <row r="5" spans="1:3" ht="17.25" x14ac:dyDescent="0.3">
      <c r="A5" s="2">
        <f>A4+1</f>
        <v>4</v>
      </c>
      <c r="B5" s="22">
        <v>4</v>
      </c>
      <c r="C5" s="22" t="s">
        <v>154</v>
      </c>
    </row>
    <row r="6" spans="1:3" ht="17.25" x14ac:dyDescent="0.3">
      <c r="A6" s="2">
        <f>A5+1</f>
        <v>5</v>
      </c>
      <c r="B6" s="22">
        <v>5</v>
      </c>
      <c r="C6" s="22" t="s">
        <v>155</v>
      </c>
    </row>
    <row r="7" spans="1:3" ht="17.25" x14ac:dyDescent="0.3">
      <c r="A7" s="2">
        <v>6</v>
      </c>
      <c r="B7" s="22">
        <v>6</v>
      </c>
      <c r="C7" s="22" t="s">
        <v>156</v>
      </c>
    </row>
    <row r="8" spans="1:3" ht="17.25" x14ac:dyDescent="0.3">
      <c r="A8" s="2">
        <v>7</v>
      </c>
      <c r="B8" s="22">
        <v>7</v>
      </c>
      <c r="C8" s="22" t="s">
        <v>157</v>
      </c>
    </row>
    <row r="9" spans="1:3" ht="17.25" x14ac:dyDescent="0.3">
      <c r="A9" s="2">
        <v>8</v>
      </c>
      <c r="B9" s="22">
        <v>8</v>
      </c>
      <c r="C9" s="22" t="s">
        <v>158</v>
      </c>
    </row>
    <row r="10" spans="1:3" ht="17.25" x14ac:dyDescent="0.3">
      <c r="A10" s="2">
        <v>9</v>
      </c>
      <c r="B10" s="22">
        <v>9</v>
      </c>
      <c r="C10" s="22" t="s">
        <v>159</v>
      </c>
    </row>
    <row r="11" spans="1:3" ht="17.25" x14ac:dyDescent="0.3">
      <c r="A11" s="2">
        <v>10</v>
      </c>
      <c r="B11" s="22">
        <v>11</v>
      </c>
      <c r="C11" s="22" t="s">
        <v>160</v>
      </c>
    </row>
    <row r="12" spans="1:3" ht="17.25" x14ac:dyDescent="0.3">
      <c r="A12" s="2">
        <v>11</v>
      </c>
      <c r="B12" s="22">
        <v>12</v>
      </c>
      <c r="C12" s="22" t="s">
        <v>161</v>
      </c>
    </row>
    <row r="13" spans="1:3" ht="17.25" x14ac:dyDescent="0.3">
      <c r="A13" s="2">
        <v>12</v>
      </c>
      <c r="B13" s="22">
        <v>13</v>
      </c>
      <c r="C13" s="22" t="s">
        <v>162</v>
      </c>
    </row>
    <row r="14" spans="1:3" ht="17.25" x14ac:dyDescent="0.3">
      <c r="A14" s="2">
        <v>13</v>
      </c>
      <c r="B14" s="22">
        <v>14</v>
      </c>
      <c r="C14" s="22" t="s">
        <v>163</v>
      </c>
    </row>
    <row r="15" spans="1:3" ht="17.25" x14ac:dyDescent="0.3">
      <c r="A15" s="34">
        <v>14</v>
      </c>
      <c r="B15" s="22">
        <v>16</v>
      </c>
      <c r="C15" s="22" t="s">
        <v>162</v>
      </c>
    </row>
    <row r="16" spans="1:3" ht="17.25" x14ac:dyDescent="0.3">
      <c r="A16" s="34">
        <v>15</v>
      </c>
      <c r="B16" s="22">
        <v>18</v>
      </c>
      <c r="C16" s="22" t="s">
        <v>164</v>
      </c>
    </row>
    <row r="17" spans="1:3" ht="17.25" x14ac:dyDescent="0.3">
      <c r="A17" s="34">
        <v>16</v>
      </c>
      <c r="B17" s="22">
        <v>20</v>
      </c>
      <c r="C17" s="22" t="s">
        <v>165</v>
      </c>
    </row>
    <row r="18" spans="1:3" ht="17.25" x14ac:dyDescent="0.3">
      <c r="A18" s="34">
        <v>17</v>
      </c>
      <c r="B18" s="22">
        <v>167</v>
      </c>
      <c r="C18" s="22" t="s">
        <v>166</v>
      </c>
    </row>
    <row r="19" spans="1:3" ht="17.25" x14ac:dyDescent="0.3">
      <c r="A19" s="34">
        <v>18</v>
      </c>
      <c r="B19" s="22">
        <v>168</v>
      </c>
      <c r="C19" s="22" t="s">
        <v>167</v>
      </c>
    </row>
    <row r="20" spans="1:3" ht="17.25" x14ac:dyDescent="0.3">
      <c r="A20" s="34">
        <v>19</v>
      </c>
      <c r="B20" s="22">
        <v>170</v>
      </c>
      <c r="C20" s="22" t="s">
        <v>168</v>
      </c>
    </row>
    <row r="21" spans="1:3" ht="17.25" x14ac:dyDescent="0.3">
      <c r="A21" s="34">
        <v>20</v>
      </c>
      <c r="B21" s="22">
        <v>171</v>
      </c>
      <c r="C21" s="22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D883-E88B-4486-B1F3-130CFC4F9698}">
  <dimension ref="A1:C6"/>
  <sheetViews>
    <sheetView tabSelected="1" workbookViewId="0">
      <selection activeCell="E6" sqref="E6"/>
    </sheetView>
  </sheetViews>
  <sheetFormatPr defaultRowHeight="15" x14ac:dyDescent="0.25"/>
  <cols>
    <col min="3" max="3" width="21.42578125" bestFit="1" customWidth="1"/>
  </cols>
  <sheetData>
    <row r="1" spans="1:3" x14ac:dyDescent="0.25">
      <c r="A1" s="36" t="s">
        <v>116</v>
      </c>
      <c r="B1" s="36" t="s">
        <v>117</v>
      </c>
      <c r="C1" s="36" t="s">
        <v>118</v>
      </c>
    </row>
    <row r="2" spans="1:3" x14ac:dyDescent="0.25">
      <c r="A2" s="2">
        <v>1</v>
      </c>
      <c r="B2" s="2">
        <v>1</v>
      </c>
      <c r="C2" s="2" t="s">
        <v>145</v>
      </c>
    </row>
    <row r="3" spans="1:3" x14ac:dyDescent="0.25">
      <c r="A3" s="2">
        <f>A2+1</f>
        <v>2</v>
      </c>
      <c r="B3" s="2">
        <v>2</v>
      </c>
      <c r="C3" s="2" t="s">
        <v>146</v>
      </c>
    </row>
    <row r="4" spans="1:3" x14ac:dyDescent="0.25">
      <c r="A4" s="2">
        <f>A3+1</f>
        <v>3</v>
      </c>
      <c r="B4" s="2">
        <v>3</v>
      </c>
      <c r="C4" s="2" t="s">
        <v>147</v>
      </c>
    </row>
    <row r="5" spans="1:3" x14ac:dyDescent="0.25">
      <c r="A5" s="2">
        <f>A4+1</f>
        <v>4</v>
      </c>
      <c r="B5" s="2">
        <v>4</v>
      </c>
      <c r="C5" s="2" t="s">
        <v>148</v>
      </c>
    </row>
    <row r="6" spans="1:3" x14ac:dyDescent="0.25">
      <c r="A6" s="2">
        <f>A5+1</f>
        <v>5</v>
      </c>
      <c r="B6" s="2">
        <v>5</v>
      </c>
      <c r="C6" s="2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1" ma:contentTypeDescription="Create a new document." ma:contentTypeScope="" ma:versionID="64dfb1555687e0874b4304b796b5b0c7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6e4c555b5e194d05b7203de9c4567b3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4:TaxCatchAll" minOccurs="0"/>
                <xsd:element ref="ns2:ImageTagsTaxHTFiel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AB08A-59C1-444E-AE1E-1DBAE428C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BD9D9-5391-4370-B039-343825009DD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4315E79D-C406-42D4-908D-28C047A7A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Revision</vt:lpstr>
      <vt:lpstr>Radio</vt:lpstr>
      <vt:lpstr>UPS</vt:lpstr>
      <vt:lpstr>DG</vt:lpstr>
      <vt:lpstr>Radio Trap</vt:lpstr>
      <vt:lpstr>UPS Trap</vt:lpstr>
      <vt:lpstr>Switch Trap</vt:lpstr>
      <vt:lpstr>Revision!Print_Area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2025-11-10T04:26:15Z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